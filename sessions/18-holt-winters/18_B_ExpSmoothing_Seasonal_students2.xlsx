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gp/Library/CloudStorage/GoogleDrive-jgarbayo@faculty.ie.edu/My Drive/IE_Classes/2025_Fall/TSA/TSA_Students/"/>
    </mc:Choice>
  </mc:AlternateContent>
  <xr:revisionPtr revIDLastSave="0" documentId="8_{97752000-A823-684E-AC0F-1C53265344ED}" xr6:coauthVersionLast="47" xr6:coauthVersionMax="47" xr10:uidLastSave="{00000000-0000-0000-0000-000000000000}"/>
  <bookViews>
    <workbookView xWindow="-4100" yWindow="-21100" windowWidth="38400" windowHeight="21100" activeTab="1" xr2:uid="{00000000-000D-0000-FFFF-FFFF00000000}"/>
  </bookViews>
  <sheets>
    <sheet name="Interpretation of terms" sheetId="2" r:id="rId1"/>
    <sheet name="Additive" sheetId="1" r:id="rId2"/>
  </sheets>
  <definedNames>
    <definedName name="alpha">Additive!$I$1</definedName>
    <definedName name="beta">Additive!$J$1</definedName>
    <definedName name="gamma">Additive!$K$1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91" i="1" l="1"/>
  <c r="C91" i="1"/>
  <c r="I91" i="1" s="1"/>
  <c r="H94" i="1"/>
  <c r="I94" i="1" s="1"/>
  <c r="H96" i="1"/>
  <c r="I96" i="1" s="1"/>
  <c r="H97" i="1"/>
  <c r="I97" i="1" s="1"/>
  <c r="H99" i="1"/>
  <c r="I99" i="1" s="1"/>
  <c r="H102" i="1"/>
  <c r="I102" i="1" s="1"/>
  <c r="C98" i="1"/>
  <c r="H98" i="1" s="1"/>
  <c r="I98" i="1" s="1"/>
  <c r="C92" i="1"/>
  <c r="H92" i="1" s="1"/>
  <c r="I92" i="1" s="1"/>
  <c r="C93" i="1"/>
  <c r="H93" i="1" s="1"/>
  <c r="I93" i="1" s="1"/>
  <c r="C94" i="1"/>
  <c r="C95" i="1"/>
  <c r="H95" i="1" s="1"/>
  <c r="I95" i="1" s="1"/>
  <c r="C96" i="1"/>
  <c r="C97" i="1"/>
  <c r="C99" i="1"/>
  <c r="C100" i="1"/>
  <c r="H100" i="1" s="1"/>
  <c r="I100" i="1" s="1"/>
  <c r="C101" i="1"/>
  <c r="H101" i="1" s="1"/>
  <c r="I101" i="1" s="1"/>
  <c r="C102" i="1"/>
  <c r="F87" i="1" l="1"/>
  <c r="F91" i="1" a="1"/>
  <c r="F99" i="1" a="1"/>
  <c r="F95" i="1" a="1"/>
  <c r="F95" i="1" l="1"/>
  <c r="F99" i="1"/>
  <c r="F91" i="1"/>
  <c r="F88" i="1"/>
  <c r="F100" i="1" a="1"/>
  <c r="F92" i="1" a="1"/>
  <c r="F96" i="1" a="1"/>
  <c r="F96" i="1" l="1"/>
  <c r="F92" i="1"/>
  <c r="F100" i="1"/>
  <c r="F89" i="1"/>
  <c r="F93" i="1" a="1"/>
  <c r="F97" i="1" a="1"/>
  <c r="F101" i="1" a="1"/>
  <c r="F101" i="1" l="1"/>
  <c r="F97" i="1"/>
  <c r="F93" i="1"/>
  <c r="F90" i="1" l="1"/>
  <c r="F94" i="1" a="1"/>
  <c r="F98" i="1" a="1"/>
  <c r="F102" i="1" a="1"/>
  <c r="F102" i="1" l="1"/>
  <c r="F98" i="1"/>
  <c r="F94" i="1"/>
  <c r="E90" i="1"/>
  <c r="D9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<sst xmlns="http://schemas.openxmlformats.org/spreadsheetml/2006/main" count="135" uniqueCount="111">
  <si>
    <t>Quarter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</si>
  <si>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</si>
  <si>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</si>
  <si>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</si>
  <si>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</si>
  <si>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</si>
  <si>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</si>
  <si>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</si>
  <si>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</si>
  <si>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</si>
  <si>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</si>
  <si>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</si>
  <si>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</si>
  <si>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</si>
  <si>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</si>
  <si>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</si>
  <si>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</si>
  <si>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</si>
  <si>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</si>
  <si>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</si>
  <si>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</si>
  <si>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</si>
  <si>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</si>
  <si>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</si>
  <si>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</si>
  <si>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</si>
  <si>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</si>
  <si>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</si>
  <si>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</si>
  <si>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</si>
  <si>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</si>
  <si>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</si>
  <si>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</si>
  <si>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</si>
  <si>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</si>
  <si>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</si>
  <si>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</si>
  <si>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</si>
  <si>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</si>
  <si>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</si>
  <si>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</si>
  <si>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</si>
  <si>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</si>
  <si>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</si>
  <si>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</si>
  <si>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</si>
  <si>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</si>
  <si>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</si>
  <si>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</si>
  <si>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</si>
  <si>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</si>
  <si>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</si>
  <si>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</si>
  <si>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</si>
  <si>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</si>
  <si>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</si>
  <si>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</si>
  <si>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</si>
  <si>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</si>
  <si>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</si>
  <si>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</si>
  <si>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</si>
  <si>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</si>
  <si>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</si>
  <si>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</si>
  <si>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</si>
  <si>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</si>
  <si>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</si>
  <si>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</si>
  <si>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</si>
  <si>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</si>
  <si>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</si>
  <si>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</si>
  <si>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</si>
  <si>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</si>
  <si>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</si>
  <si>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</si>
  <si>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</si>
  <si>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</si>
  <si>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</si>
  <si>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</si>
  <si>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Observation</t>
  </si>
  <si>
    <t>Level</t>
  </si>
  <si>
    <t>Slope</t>
  </si>
  <si>
    <t>Season</t>
  </si>
  <si>
    <t>Forecast</t>
  </si>
  <si>
    <t>-</t>
  </si>
  <si>
    <t>Fitted Val</t>
  </si>
  <si>
    <t>k</t>
  </si>
  <si>
    <t>Cell of season</t>
  </si>
  <si>
    <t>2018 Q1</t>
  </si>
  <si>
    <t>2018 Q2</t>
  </si>
  <si>
    <t>2019 Q1</t>
  </si>
  <si>
    <t>2019 Q2</t>
  </si>
  <si>
    <t>2018 Q3</t>
  </si>
  <si>
    <t>2018 Q4</t>
  </si>
  <si>
    <t>2019 Q3</t>
  </si>
  <si>
    <t>2019 Q4</t>
  </si>
  <si>
    <t>2020 Q1</t>
  </si>
  <si>
    <t>2020 Q2</t>
  </si>
  <si>
    <t>2020 Q3</t>
  </si>
  <si>
    <t>2020 Q4</t>
  </si>
  <si>
    <t>m(k+1)</t>
  </si>
  <si>
    <t>h</t>
  </si>
  <si>
    <r>
      <t>s</t>
    </r>
    <r>
      <rPr>
        <i/>
        <vertAlign val="subscript"/>
        <sz val="11"/>
        <color rgb="FF000000"/>
        <rFont val="Calibri"/>
        <family val="2"/>
        <scheme val="minor"/>
      </rPr>
      <t>t+h-m(k+1)</t>
    </r>
  </si>
  <si>
    <t>t (time)</t>
  </si>
  <si>
    <t>T</t>
  </si>
  <si>
    <t>T-3</t>
  </si>
  <si>
    <t>T-2</t>
  </si>
  <si>
    <t>T-1</t>
  </si>
  <si>
    <t>T+3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</si>
</sst>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&quot;gamma=&quot;0.0000"/>
    <numFmt numFmtId="166" formatCode="&quot;beta*=&quot;0.0000"/>
    <numFmt numFmtId="167" formatCode="&quot;alpha=&quot;0.0000"/>
  </numFmts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vertAlign val="subscript"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/>
    <xf numFmtId="167" fontId="1" fillId="2" borderId="1" xfId="0" applyNumberFormat="1" applyFont="1" applyFill="1" applyBorder="1"/>
    <xf numFmtId="166" fontId="1" fillId="2" borderId="1" xfId="0" applyNumberFormat="1" applyFont="1" applyFill="1" applyBorder="1" applyAlignment="1">
      <alignment horizontal="left"/>
    </xf>
    <xf numFmtId="0" fontId="0" fillId="2" borderId="2" xfId="0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5" fontId="1" fillId="2" borderId="1" xfId="0" applyNumberFormat="1" applyFont="1" applyFill="1" applyBorder="1"/>
    <xf numFmtId="164" fontId="0" fillId="3" borderId="4" xfId="0" applyNumberFormat="1" applyFill="1" applyBorder="1"/>
    <xf numFmtId="164" fontId="0" fillId="4" borderId="8" xfId="0" applyNumberFormat="1" applyFill="1" applyBorder="1"/>
    <xf numFmtId="164" fontId="0" fillId="4" borderId="2" xfId="0" applyNumberFormat="1" applyFill="1" applyBorder="1"/>
    <xf numFmtId="164" fontId="0" fillId="5" borderId="5" xfId="0" applyNumberFormat="1" applyFill="1" applyBorder="1"/>
    <xf numFmtId="164" fontId="0" fillId="6" borderId="6" xfId="0" applyNumberFormat="1" applyFill="1" applyBorder="1"/>
    <xf numFmtId="164" fontId="0" fillId="7" borderId="6" xfId="0" applyNumberFormat="1" applyFill="1" applyBorder="1"/>
    <xf numFmtId="164" fontId="0" fillId="8" borderId="7" xfId="0" applyNumberFormat="1" applyFill="1" applyBorder="1"/>
    <xf numFmtId="164" fontId="0" fillId="2" borderId="8" xfId="0" applyNumberFormat="1" applyFill="1" applyBorder="1"/>
    <xf numFmtId="164" fontId="0" fillId="5" borderId="3" xfId="0" applyNumberFormat="1" applyFill="1" applyBorder="1"/>
    <xf numFmtId="164" fontId="0" fillId="4" borderId="9" xfId="0" applyNumberFormat="1" applyFill="1" applyBorder="1"/>
    <xf numFmtId="164" fontId="0" fillId="5" borderId="5" xfId="0" applyNumberFormat="1" applyFill="1" applyBorder="1" applyAlignment="1">
      <alignment horizontal="center"/>
    </xf>
    <xf numFmtId="164" fontId="0" fillId="6" borderId="6" xfId="0" applyNumberFormat="1" applyFill="1" applyBorder="1" applyAlignment="1">
      <alignment horizontal="center"/>
    </xf>
    <xf numFmtId="164" fontId="0" fillId="7" borderId="6" xfId="0" applyNumberFormat="1" applyFill="1" applyBorder="1" applyAlignment="1">
      <alignment horizontal="center"/>
    </xf>
    <xf numFmtId="164" fontId="0" fillId="8" borderId="7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164" fontId="0" fillId="3" borderId="5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9</xdr:col>
      <xdr:colOff>348857</xdr:colOff>
      <xdr:row>10</xdr:row>
      <xdr:rowOff>175260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92EEC4-8830-4E29-9060-C8B8116AA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280160"/>
          <a:ext cx="5225657" cy="7239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8</xdr:col>
      <xdr:colOff>586740</xdr:colOff>
      <xdr:row>15</xdr:row>
      <xdr:rowOff>175337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D0F92EF-7ACC-41DB-90E6-07EAA7008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194560"/>
          <a:ext cx="4853940" cy="72397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9</xdr:col>
      <xdr:colOff>526248</xdr:colOff>
      <xdr:row>20</xdr:row>
      <xdr:rowOff>167702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02C993-D1A8-4317-A03E-5F0867DED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3108960"/>
          <a:ext cx="5403048" cy="71634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5</xdr:col>
      <xdr:colOff>505326</xdr:colOff>
      <xdr:row>3</xdr:row>
      <xdr:rowOff>143136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159A5E5-DA4D-46ED-BF42-9C4704451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82880"/>
          <a:ext cx="2943726" cy="50889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10</xdr:col>
      <xdr:colOff>480060</xdr:colOff>
      <xdr:row>1</xdr:row>
      <xdr:rowOff>175260</xdr:rowOff>
    </xdr:from>
    <xdr:to>
      <xdr:col>14</xdr:col>
      <xdr:colOff>220980</xdr:colOff>
      <xdr:row>3</xdr:row>
      <xdr:rowOff>167640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ED6E1FD-2E19-76A8-A735-2074C6EE2239}"/>
            </a:ext>
          </a:extLst>
        </xdr:cNvPr>
        <xdr:cNvSpPr txBox="1"/>
      </xdr:nvSpPr>
      <xdr:spPr>
        <a:xfrm>
          <a:off x="6576060" y="358140"/>
          <a:ext cx="2179320" cy="358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Poner los dibujos de cada una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16</xdr:col>
      <xdr:colOff>142240</xdr:colOff>
      <xdr:row>10</xdr:row>
      <xdr:rowOff>129571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0AEA51-B570-46E2-EA6E-D701A29FD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2000" y="386080"/>
          <a:ext cx="7772400" cy="1673891"/>
        </a:xfrm>
        <a:prstGeom prst="rect">
          <a:avLst/>
        </a:prstGeom>
      </xdr:spPr>
    </xdr:pic>
    <xdr:clientData/>
  </xdr:twoCellAnchor>
  <xdr:twoCellAnchor editAs="oneCell">
    <xdr:from>
      <xdr:col>8</xdr:col>
      <xdr:colOff>20320</xdr:colOff>
      <xdr:row>11</xdr:row>
      <xdr:rowOff>162560</xdr:rowOff>
    </xdr:from>
    <xdr:to>
      <xdr:col>9</xdr:col>
      <xdr:colOff>683260</xdr:colOff>
      <xdr:row>15</xdr:row>
      <xdr:rowOff>88900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15778A-C767-BAAB-1EB6-F4F4B2480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2320" y="2286000"/>
          <a:ext cx="1790700" cy="698500"/>
        </a:xfrm>
        <a:prstGeom prst="rect">
          <a:avLst/>
        </a:prstGeom>
      </xdr:spPr>
    </xdr:pic>
    <xdr:clientData/>
  </xdr:twoCellAnchor>
  <xdr:twoCellAnchor editAs="oneCell">
    <xdr:from>
      <xdr:col>7</xdr:col>
      <xdr:colOff>852587</xdr:colOff>
      <xdr:row>23</xdr:row>
      <xdr:rowOff>127374</xdr:rowOff>
    </xdr:from>
    <xdr:to>
      <xdr:col>16</xdr:col>
      <xdr:colOff>328601</xdr:colOff>
      <xdr:row>30</xdr:row>
      <xdr:rowOff>99061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64E3C72-A0B7-C034-ADE2-EEF306A96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13776" y="4416954"/>
          <a:ext cx="8010769" cy="1277212"/>
        </a:xfrm>
        <a:prstGeom prst="rect">
          <a:avLst/>
        </a:prstGeom>
      </xdr:spPr>
    </xdr:pic>
    <xdr:clientData/>
  </xdr:twoCellAnchor>
  <xdr:twoCellAnchor>
    <xdr:from>
      <xdr:col>8</xdr:col>
      <xdr:colOff>26643</xdr:colOff>
      <xdr:row>16</xdr:row>
      <xdr:rowOff>133217</xdr:rowOff>
    </xdr:from>
    <xdr:to>
      <xdr:col>16</xdr:col>
      <xdr:colOff>248671</xdr:colOff>
      <xdr:row>22</xdr:row>
      <xdr:rowOff>62168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0350601-0BBB-00AB-2B5E-4C6D1ACA4FE2}"/>
            </a:ext>
          </a:extLst>
        </xdr:cNvPr>
        <xdr:cNvSpPr txBox="1"/>
      </xdr:nvSpPr>
      <xdr:spPr>
        <a:xfrm>
          <a:off x="7167063" y="3117273"/>
          <a:ext cx="7877552" cy="10479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STEP</a:t>
          </a:r>
          <a:r>
            <a:rPr lang="en-GB" sz="1100" baseline="0"/>
            <a:t> 1 TO OBTAIN EQUATION FOR FITTED VALUES:</a:t>
          </a:r>
        </a:p>
        <a:p>
          <a:endParaRPr lang="en-GB" sz="1100" baseline="0"/>
        </a:p>
        <a:p>
          <a:r>
            <a:rPr lang="en-GB" sz="1100" baseline="0"/>
            <a:t>- Since fitted values are one-step ahead forecast on the training data, we apply h=1 in the generic forecast equation of our method</a:t>
          </a:r>
          <a:endParaRPr lang="en-GB" sz="1100"/>
        </a:p>
      </xdr:txBody>
    </xdr:sp>
    <xdr:clientData/>
  </xdr:twoCellAnchor>
  <xdr:twoCellAnchor editAs="oneCell">
    <xdr:from>
      <xdr:col>8</xdr:col>
      <xdr:colOff>6560</xdr:colOff>
      <xdr:row>32</xdr:row>
      <xdr:rowOff>10591</xdr:rowOff>
    </xdr:from>
    <xdr:to>
      <xdr:col>16</xdr:col>
      <xdr:colOff>149664</xdr:colOff>
      <xdr:row>44</xdr:row>
      <xdr:rowOff>120711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C0BB7D-633E-6140-AEE0-4A46AD41A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31260" y="6106591"/>
          <a:ext cx="7788504" cy="239612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14625</xdr:colOff>
      <xdr:row>93</xdr:row>
      <xdr:rowOff>117406</xdr:rowOff>
    </xdr:from>
    <xdr:to>
      <xdr:col>16</xdr:col>
      <xdr:colOff>660733</xdr:colOff>
      <xdr:row>96</xdr:row>
      <xdr:rowOff>58484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6172ABE-ADB0-9040-B178-C6ACABF93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89301" y="18052730"/>
          <a:ext cx="4154597" cy="52582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12</xdr:col>
      <xdr:colOff>0</xdr:colOff>
      <xdr:row>90</xdr:row>
      <xdr:rowOff>0</xdr:rowOff>
    </xdr:from>
    <xdr:to>
      <xdr:col>17</xdr:col>
      <xdr:colOff>766259</xdr:colOff>
      <xdr:row>93</xdr:row>
      <xdr:rowOff>60164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1B05E00-F582-4D44-8B9D-5DA103F48C09}"/>
            </a:ext>
          </a:extLst>
        </xdr:cNvPr>
        <xdr:cNvSpPr txBox="1"/>
      </xdr:nvSpPr>
      <xdr:spPr>
        <a:xfrm>
          <a:off x="11274676" y="17359712"/>
          <a:ext cx="5151871" cy="635776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/>
            <a:t>To produce forecasts</a:t>
          </a:r>
          <a:r>
            <a:rPr lang="en-US" sz="1500" baseline="0"/>
            <a:t> beyond the training data, we need the general form of the forecast equation (for h=h).</a:t>
          </a:r>
        </a:p>
        <a:p>
          <a:endParaRPr lang="en-US" sz="1500"/>
        </a:p>
      </xdr:txBody>
    </xdr:sp>
    <xdr:clientData/>
  </xdr:twoCellAnchor>
  <xdr:twoCellAnchor editAs="oneCell">
    <xdr:from>
      <xdr:col>12</xdr:col>
      <xdr:colOff>51089</xdr:colOff>
      <xdr:row>96</xdr:row>
      <xdr:rowOff>127130</xdr:rowOff>
    </xdr:from>
    <xdr:to>
      <xdr:col>13</xdr:col>
      <xdr:colOff>801485</xdr:colOff>
      <xdr:row>98</xdr:row>
      <xdr:rowOff>160438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E906E97-6898-E54E-B80C-C7922DC98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25765" y="18647202"/>
          <a:ext cx="1627519" cy="42618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E565-C113-4ED6-BDF9-086691991D2E}">
  <dimension ref="A1"/>
  <sheetViews>
    <sheetView workbookViewId="0">
      <selection activeCell="O8" sqref="O8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tabSelected="1" zoomScale="139" zoomScaleNormal="85" workbookViewId="0">
      <pane ySplit="1" topLeftCell="A78" activePane="bottomLeft" state="frozen"/>
      <selection pane="bottomLeft" activeCell="H84" sqref="H84"/>
    </sheetView>
  </sheetViews>
  <sheetFormatPr baseColWidth="10" defaultColWidth="11.5" defaultRowHeight="15" x14ac:dyDescent="0.2"/>
  <cols>
    <col min="4" max="6" width="12" bestFit="1" customWidth="1"/>
    <col min="9" max="9" width="14.83203125" bestFit="1" customWidth="1"/>
    <col min="10" max="10" width="13.1640625" bestFit="1" customWidth="1"/>
    <col min="11" max="11" width="14.83203125" bestFit="1" customWidth="1"/>
  </cols>
  <sheetData>
    <row r="1" spans="1:11" x14ac:dyDescent="0.2">
      <c r="A1" s="1" t="s">
        <v>0</v>
      </c>
      <c r="B1" s="1" t="s">
        <v>105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87</v>
      </c>
      <c r="I1" s="5">
        <v>0.26200000000000001</v>
      </c>
      <c r="J1" s="6">
        <v>0.1646</v>
      </c>
      <c r="K1" s="12">
        <v>1E-4</v>
      </c>
    </row>
    <row r="2" spans="1:11" x14ac:dyDescent="0.2">
      <c r="B2">
        <v>-3</v>
      </c>
      <c r="F2" s="4">
        <v>1.5</v>
      </c>
    </row>
    <row r="3" spans="1:11" x14ac:dyDescent="0.2">
      <c r="B3">
        <v>-2</v>
      </c>
      <c r="F3" s="4">
        <v>-0.3</v>
      </c>
    </row>
    <row r="4" spans="1:11" x14ac:dyDescent="0.2">
      <c r="B4">
        <v>-1</v>
      </c>
      <c r="F4" s="4">
        <v>-0.7</v>
      </c>
    </row>
    <row r="5" spans="1:11" x14ac:dyDescent="0.2">
      <c r="B5">
        <v>0</v>
      </c>
      <c r="D5" s="7">
        <v>9.8000000000000007</v>
      </c>
      <c r="E5" s="9">
        <v>0</v>
      </c>
      <c r="F5" s="7">
        <v>-0.5</v>
      </c>
    </row>
    <row r="6" spans="1:11" x14ac:dyDescent="0.2">
      <c r="A6" s="8" t="s">
        <v>1</v>
      </c>
      <c r="B6" s="8">
        <v>1</v>
      </c>
      <c r="C6" s="9">
        <v>11.8060376221</v>
      </c>
      <c r="D6" s="11"/>
      <c r="E6" s="11"/>
      <c r="F6" s="11"/>
      <c r="G6" s="10"/>
    </row>
    <row r="7" spans="1:11" x14ac:dyDescent="0.2">
      <c r="A7" s="8" t="s">
        <v>2</v>
      </c>
      <c r="B7" s="8">
        <v>2</v>
      </c>
      <c r="C7" s="9">
        <v>9.2756620743999996</v>
      </c>
      <c r="D7" s="11"/>
      <c r="E7" s="11"/>
      <c r="F7" s="11"/>
      <c r="G7" s="10"/>
    </row>
    <row r="8" spans="1:11" x14ac:dyDescent="0.2">
      <c r="A8" s="8" t="s">
        <v>3</v>
      </c>
      <c r="B8" s="8">
        <v>3</v>
      </c>
      <c r="C8" s="9">
        <v>8.6424885897999992</v>
      </c>
      <c r="D8" s="11"/>
      <c r="E8" s="11"/>
      <c r="F8" s="11"/>
      <c r="G8" s="10"/>
    </row>
    <row r="9" spans="1:11" x14ac:dyDescent="0.2">
      <c r="A9" s="8" t="s">
        <v>4</v>
      </c>
      <c r="B9" s="8">
        <v>4</v>
      </c>
      <c r="C9" s="9">
        <v>9.2995237805999995</v>
      </c>
      <c r="D9" s="11"/>
      <c r="E9" s="11"/>
      <c r="F9" s="11"/>
      <c r="G9" s="10"/>
    </row>
    <row r="10" spans="1:11" x14ac:dyDescent="0.2">
      <c r="A10" s="8" t="s">
        <v>5</v>
      </c>
      <c r="B10" s="8">
        <v>5</v>
      </c>
      <c r="C10" s="9">
        <v>11.172027056399999</v>
      </c>
      <c r="D10" s="11"/>
      <c r="E10" s="11"/>
      <c r="F10" s="11"/>
      <c r="G10" s="10"/>
    </row>
    <row r="11" spans="1:11" x14ac:dyDescent="0.2">
      <c r="A11" s="8" t="s">
        <v>6</v>
      </c>
      <c r="B11" s="8">
        <v>6</v>
      </c>
      <c r="C11" s="9">
        <v>9.6076131866000001</v>
      </c>
      <c r="D11" s="11"/>
      <c r="E11" s="11"/>
      <c r="F11" s="11"/>
      <c r="G11" s="10"/>
    </row>
    <row r="12" spans="1:11" x14ac:dyDescent="0.2">
      <c r="A12" s="8" t="s">
        <v>7</v>
      </c>
      <c r="B12" s="8">
        <v>7</v>
      </c>
      <c r="C12" s="9">
        <v>8.9138865198000001</v>
      </c>
      <c r="D12" s="11"/>
      <c r="E12" s="11"/>
      <c r="F12" s="11"/>
      <c r="G12" s="10"/>
    </row>
    <row r="13" spans="1:11" x14ac:dyDescent="0.2">
      <c r="A13" s="8" t="s">
        <v>8</v>
      </c>
      <c r="B13" s="8">
        <v>8</v>
      </c>
      <c r="C13" s="9">
        <v>9.0256883618000003</v>
      </c>
      <c r="D13" s="11"/>
      <c r="E13" s="11"/>
      <c r="F13" s="11"/>
      <c r="G13" s="10"/>
    </row>
    <row r="14" spans="1:11" x14ac:dyDescent="0.2">
      <c r="A14" s="8" t="s">
        <v>9</v>
      </c>
      <c r="B14" s="8">
        <v>9</v>
      </c>
      <c r="C14" s="9">
        <v>11.070865789000001</v>
      </c>
      <c r="D14" s="11"/>
      <c r="E14" s="11"/>
      <c r="F14" s="11"/>
      <c r="G14" s="10"/>
    </row>
    <row r="15" spans="1:11" x14ac:dyDescent="0.2">
      <c r="A15" s="8" t="s">
        <v>10</v>
      </c>
      <c r="B15" s="8">
        <v>10</v>
      </c>
      <c r="C15" s="9">
        <v>9.1962623222000008</v>
      </c>
      <c r="D15" s="11"/>
      <c r="E15" s="11"/>
      <c r="F15" s="11"/>
      <c r="G15" s="10"/>
    </row>
    <row r="16" spans="1:11" x14ac:dyDescent="0.2">
      <c r="A16" s="8" t="s">
        <v>11</v>
      </c>
      <c r="B16" s="8">
        <v>11</v>
      </c>
      <c r="C16" s="9">
        <v>9.3475058063999992</v>
      </c>
      <c r="D16" s="11"/>
      <c r="E16" s="11"/>
      <c r="F16" s="11"/>
      <c r="G16" s="10"/>
    </row>
    <row r="17" spans="1:7" x14ac:dyDescent="0.2">
      <c r="A17" s="8" t="s">
        <v>12</v>
      </c>
      <c r="B17" s="8">
        <v>12</v>
      </c>
      <c r="C17" s="9">
        <v>8.9840142166000003</v>
      </c>
      <c r="D17" s="11"/>
      <c r="E17" s="11"/>
      <c r="F17" s="11"/>
      <c r="G17" s="10"/>
    </row>
    <row r="18" spans="1:7" x14ac:dyDescent="0.2">
      <c r="A18" s="8" t="s">
        <v>13</v>
      </c>
      <c r="B18" s="8">
        <v>13</v>
      </c>
      <c r="C18" s="9">
        <v>10.6723143049</v>
      </c>
      <c r="D18" s="11"/>
      <c r="E18" s="11"/>
      <c r="F18" s="11"/>
      <c r="G18" s="10"/>
    </row>
    <row r="19" spans="1:7" x14ac:dyDescent="0.2">
      <c r="A19" s="8" t="s">
        <v>14</v>
      </c>
      <c r="B19" s="8">
        <v>14</v>
      </c>
      <c r="C19" s="9">
        <v>9.5334921444000003</v>
      </c>
      <c r="D19" s="11"/>
      <c r="E19" s="11"/>
      <c r="F19" s="11"/>
      <c r="G19" s="10"/>
    </row>
    <row r="20" spans="1:7" x14ac:dyDescent="0.2">
      <c r="A20" s="8" t="s">
        <v>15</v>
      </c>
      <c r="B20" s="8">
        <v>15</v>
      </c>
      <c r="C20" s="9">
        <v>8.8071590872000005</v>
      </c>
      <c r="D20" s="11"/>
      <c r="E20" s="11"/>
      <c r="F20" s="11"/>
      <c r="G20" s="10"/>
    </row>
    <row r="21" spans="1:7" x14ac:dyDescent="0.2">
      <c r="A21" s="8" t="s">
        <v>16</v>
      </c>
      <c r="B21" s="8">
        <v>16</v>
      </c>
      <c r="C21" s="9">
        <v>8.9769448476000004</v>
      </c>
      <c r="D21" s="11"/>
      <c r="E21" s="11"/>
      <c r="F21" s="11"/>
      <c r="G21" s="10"/>
    </row>
    <row r="22" spans="1:7" x14ac:dyDescent="0.2">
      <c r="A22" s="8" t="s">
        <v>17</v>
      </c>
      <c r="B22" s="8">
        <v>17</v>
      </c>
      <c r="C22" s="9">
        <v>10.8426194436</v>
      </c>
      <c r="D22" s="11"/>
      <c r="E22" s="11"/>
      <c r="F22" s="11"/>
      <c r="G22" s="10"/>
    </row>
    <row r="23" spans="1:7" x14ac:dyDescent="0.2">
      <c r="A23" s="8" t="s">
        <v>18</v>
      </c>
      <c r="B23" s="8">
        <v>18</v>
      </c>
      <c r="C23" s="9">
        <v>9.2327454263999993</v>
      </c>
      <c r="D23" s="11"/>
      <c r="E23" s="11"/>
      <c r="F23" s="11"/>
      <c r="G23" s="10"/>
    </row>
    <row r="24" spans="1:7" x14ac:dyDescent="0.2">
      <c r="A24" s="8" t="s">
        <v>19</v>
      </c>
      <c r="B24" s="8">
        <v>19</v>
      </c>
      <c r="C24" s="9">
        <v>8.8362141348000005</v>
      </c>
      <c r="D24" s="11"/>
      <c r="E24" s="11"/>
      <c r="F24" s="11"/>
      <c r="G24" s="10"/>
    </row>
    <row r="25" spans="1:7" x14ac:dyDescent="0.2">
      <c r="A25" s="8" t="s">
        <v>20</v>
      </c>
      <c r="B25" s="8">
        <v>20</v>
      </c>
      <c r="C25" s="9">
        <v>9.2475412624000004</v>
      </c>
      <c r="D25" s="11"/>
      <c r="E25" s="11"/>
      <c r="F25" s="11"/>
      <c r="G25" s="10"/>
    </row>
    <row r="26" spans="1:7" x14ac:dyDescent="0.2">
      <c r="A26" s="8" t="s">
        <v>21</v>
      </c>
      <c r="B26" s="8">
        <v>21</v>
      </c>
      <c r="C26" s="9">
        <v>10.5015589713</v>
      </c>
      <c r="D26" s="11"/>
      <c r="E26" s="11"/>
      <c r="F26" s="11"/>
      <c r="G26" s="10"/>
    </row>
    <row r="27" spans="1:7" x14ac:dyDescent="0.2">
      <c r="A27" s="8" t="s">
        <v>22</v>
      </c>
      <c r="B27" s="8">
        <v>22</v>
      </c>
      <c r="C27" s="9">
        <v>9.0935298810000003</v>
      </c>
      <c r="D27" s="11"/>
      <c r="E27" s="11"/>
      <c r="F27" s="11"/>
      <c r="G27" s="10"/>
    </row>
    <row r="28" spans="1:7" x14ac:dyDescent="0.2">
      <c r="A28" s="8" t="s">
        <v>23</v>
      </c>
      <c r="B28" s="8">
        <v>23</v>
      </c>
      <c r="C28" s="9">
        <v>8.8405427455000005</v>
      </c>
      <c r="D28" s="11"/>
      <c r="E28" s="11"/>
      <c r="F28" s="11"/>
      <c r="G28" s="10"/>
    </row>
    <row r="29" spans="1:7" x14ac:dyDescent="0.2">
      <c r="A29" s="8" t="s">
        <v>24</v>
      </c>
      <c r="B29" s="8">
        <v>24</v>
      </c>
      <c r="C29" s="9">
        <v>8.8412606339999993</v>
      </c>
      <c r="D29" s="11"/>
      <c r="E29" s="11"/>
      <c r="F29" s="11"/>
      <c r="G29" s="10"/>
    </row>
    <row r="30" spans="1:7" x14ac:dyDescent="0.2">
      <c r="A30" s="8" t="s">
        <v>25</v>
      </c>
      <c r="B30" s="8">
        <v>25</v>
      </c>
      <c r="C30" s="9">
        <v>10.701459552799999</v>
      </c>
      <c r="D30" s="11"/>
      <c r="E30" s="11"/>
      <c r="F30" s="11"/>
      <c r="G30" s="10"/>
    </row>
    <row r="31" spans="1:7" x14ac:dyDescent="0.2">
      <c r="A31" s="8" t="s">
        <v>26</v>
      </c>
      <c r="B31" s="8">
        <v>26</v>
      </c>
      <c r="C31" s="9">
        <v>9.2112662671999992</v>
      </c>
      <c r="D31" s="11"/>
      <c r="E31" s="11"/>
      <c r="F31" s="11"/>
      <c r="G31" s="10"/>
    </row>
    <row r="32" spans="1:7" x14ac:dyDescent="0.2">
      <c r="A32" s="8" t="s">
        <v>27</v>
      </c>
      <c r="B32" s="8">
        <v>27</v>
      </c>
      <c r="C32" s="9">
        <v>8.9244407030000001</v>
      </c>
      <c r="D32" s="11"/>
      <c r="E32" s="11"/>
      <c r="F32" s="11"/>
      <c r="G32" s="10"/>
    </row>
    <row r="33" spans="1:7" x14ac:dyDescent="0.2">
      <c r="A33" s="8" t="s">
        <v>28</v>
      </c>
      <c r="B33" s="8">
        <v>28</v>
      </c>
      <c r="C33" s="9">
        <v>8.3785842485999993</v>
      </c>
      <c r="D33" s="11"/>
      <c r="E33" s="11"/>
      <c r="F33" s="11"/>
      <c r="G33" s="10"/>
    </row>
    <row r="34" spans="1:7" x14ac:dyDescent="0.2">
      <c r="A34" s="8" t="s">
        <v>29</v>
      </c>
      <c r="B34" s="8">
        <v>29</v>
      </c>
      <c r="C34" s="9">
        <v>10.928984657799999</v>
      </c>
      <c r="D34" s="11"/>
      <c r="E34" s="11"/>
      <c r="F34" s="11"/>
      <c r="G34" s="10"/>
    </row>
    <row r="35" spans="1:7" x14ac:dyDescent="0.2">
      <c r="A35" s="8" t="s">
        <v>30</v>
      </c>
      <c r="B35" s="8">
        <v>30</v>
      </c>
      <c r="C35" s="9">
        <v>8.0662598024999994</v>
      </c>
      <c r="D35" s="11"/>
      <c r="E35" s="11"/>
      <c r="F35" s="11"/>
      <c r="G35" s="10"/>
    </row>
    <row r="36" spans="1:7" x14ac:dyDescent="0.2">
      <c r="A36" s="8" t="s">
        <v>31</v>
      </c>
      <c r="B36" s="8">
        <v>31</v>
      </c>
      <c r="C36" s="9">
        <v>8.1004925164999992</v>
      </c>
      <c r="D36" s="11"/>
      <c r="E36" s="11"/>
      <c r="F36" s="11"/>
      <c r="G36" s="10"/>
    </row>
    <row r="37" spans="1:7" x14ac:dyDescent="0.2">
      <c r="A37" s="8" t="s">
        <v>32</v>
      </c>
      <c r="B37" s="8">
        <v>32</v>
      </c>
      <c r="C37" s="9">
        <v>7.7370418715999998</v>
      </c>
      <c r="D37" s="11"/>
      <c r="E37" s="11"/>
      <c r="F37" s="11"/>
      <c r="G37" s="10"/>
    </row>
    <row r="38" spans="1:7" x14ac:dyDescent="0.2">
      <c r="A38" s="8" t="s">
        <v>33</v>
      </c>
      <c r="B38" s="8">
        <v>33</v>
      </c>
      <c r="C38" s="9">
        <v>11.219247032</v>
      </c>
      <c r="D38" s="11"/>
      <c r="E38" s="11"/>
      <c r="F38" s="11"/>
      <c r="G38" s="10"/>
    </row>
    <row r="39" spans="1:7" x14ac:dyDescent="0.2">
      <c r="A39" s="8" t="s">
        <v>34</v>
      </c>
      <c r="B39" s="8">
        <v>34</v>
      </c>
      <c r="C39" s="9">
        <v>9.2740465160000003</v>
      </c>
      <c r="D39" s="11"/>
      <c r="E39" s="11"/>
      <c r="F39" s="11"/>
      <c r="G39" s="10"/>
    </row>
    <row r="40" spans="1:7" x14ac:dyDescent="0.2">
      <c r="A40" s="8" t="s">
        <v>35</v>
      </c>
      <c r="B40" s="8">
        <v>35</v>
      </c>
      <c r="C40" s="9">
        <v>7.7962113449999997</v>
      </c>
      <c r="D40" s="11"/>
      <c r="E40" s="11"/>
      <c r="F40" s="11"/>
      <c r="G40" s="10"/>
    </row>
    <row r="41" spans="1:7" x14ac:dyDescent="0.2">
      <c r="A41" s="8" t="s">
        <v>36</v>
      </c>
      <c r="B41" s="8">
        <v>36</v>
      </c>
      <c r="C41" s="9">
        <v>8.9284028939999995</v>
      </c>
      <c r="D41" s="11"/>
      <c r="E41" s="11"/>
      <c r="F41" s="11"/>
      <c r="G41" s="10"/>
    </row>
    <row r="42" spans="1:7" x14ac:dyDescent="0.2">
      <c r="A42" s="8" t="s">
        <v>37</v>
      </c>
      <c r="B42" s="8">
        <v>37</v>
      </c>
      <c r="C42" s="9">
        <v>10.9103053791</v>
      </c>
      <c r="D42" s="11"/>
      <c r="E42" s="11"/>
      <c r="F42" s="11"/>
      <c r="G42" s="10"/>
    </row>
    <row r="43" spans="1:7" x14ac:dyDescent="0.2">
      <c r="A43" s="8" t="s">
        <v>38</v>
      </c>
      <c r="B43" s="8">
        <v>38</v>
      </c>
      <c r="C43" s="9">
        <v>9.3564126837000003</v>
      </c>
      <c r="D43" s="11"/>
      <c r="E43" s="11"/>
      <c r="F43" s="11"/>
      <c r="G43" s="10"/>
    </row>
    <row r="44" spans="1:7" x14ac:dyDescent="0.2">
      <c r="A44" s="8" t="s">
        <v>39</v>
      </c>
      <c r="B44" s="8">
        <v>39</v>
      </c>
      <c r="C44" s="9">
        <v>8.6174603826999991</v>
      </c>
      <c r="D44" s="11"/>
      <c r="E44" s="11"/>
      <c r="F44" s="11"/>
      <c r="G44" s="10"/>
    </row>
    <row r="45" spans="1:7" x14ac:dyDescent="0.2">
      <c r="A45" s="8" t="s">
        <v>40</v>
      </c>
      <c r="B45" s="8">
        <v>40</v>
      </c>
      <c r="C45" s="9">
        <v>8.7163509356999995</v>
      </c>
      <c r="D45" s="11"/>
      <c r="E45" s="11"/>
      <c r="F45" s="11"/>
      <c r="G45" s="10"/>
    </row>
    <row r="46" spans="1:7" x14ac:dyDescent="0.2">
      <c r="A46" s="8" t="s">
        <v>41</v>
      </c>
      <c r="B46" s="8">
        <v>41</v>
      </c>
      <c r="C46" s="9">
        <v>11.9514914676</v>
      </c>
      <c r="D46" s="11"/>
      <c r="E46" s="11"/>
      <c r="F46" s="11"/>
      <c r="G46" s="10"/>
    </row>
    <row r="47" spans="1:7" x14ac:dyDescent="0.2">
      <c r="A47" s="8" t="s">
        <v>42</v>
      </c>
      <c r="B47" s="8">
        <v>42</v>
      </c>
      <c r="C47" s="9">
        <v>8.4994602312000005</v>
      </c>
      <c r="D47" s="11"/>
      <c r="E47" s="11"/>
      <c r="F47" s="11"/>
      <c r="G47" s="10"/>
    </row>
    <row r="48" spans="1:7" x14ac:dyDescent="0.2">
      <c r="A48" s="8" t="s">
        <v>43</v>
      </c>
      <c r="B48" s="8">
        <v>43</v>
      </c>
      <c r="C48" s="9">
        <v>8.4822356138000004</v>
      </c>
      <c r="D48" s="11"/>
      <c r="E48" s="11"/>
      <c r="F48" s="11"/>
      <c r="G48" s="10"/>
    </row>
    <row r="49" spans="1:7" x14ac:dyDescent="0.2">
      <c r="A49" s="8" t="s">
        <v>44</v>
      </c>
      <c r="B49" s="8">
        <v>44</v>
      </c>
      <c r="C49" s="9">
        <v>8.3911066981999998</v>
      </c>
      <c r="D49" s="11"/>
      <c r="E49" s="11"/>
      <c r="F49" s="11"/>
      <c r="G49" s="10"/>
    </row>
    <row r="50" spans="1:7" x14ac:dyDescent="0.2">
      <c r="A50" s="8" t="s">
        <v>45</v>
      </c>
      <c r="B50" s="8">
        <v>45</v>
      </c>
      <c r="C50" s="9">
        <v>10.1319747752</v>
      </c>
      <c r="D50" s="11"/>
      <c r="E50" s="11"/>
      <c r="F50" s="11"/>
      <c r="G50" s="10"/>
    </row>
    <row r="51" spans="1:7" x14ac:dyDescent="0.2">
      <c r="A51" s="8" t="s">
        <v>46</v>
      </c>
      <c r="B51" s="8">
        <v>46</v>
      </c>
      <c r="C51" s="9">
        <v>8.4004153107999997</v>
      </c>
      <c r="D51" s="11"/>
      <c r="E51" s="11"/>
      <c r="F51" s="11"/>
      <c r="G51" s="10"/>
    </row>
    <row r="52" spans="1:7" x14ac:dyDescent="0.2">
      <c r="A52" s="8" t="s">
        <v>47</v>
      </c>
      <c r="B52" s="8">
        <v>47</v>
      </c>
      <c r="C52" s="9">
        <v>8.6903039877000001</v>
      </c>
      <c r="D52" s="11"/>
      <c r="E52" s="11"/>
      <c r="F52" s="11"/>
      <c r="G52" s="10"/>
    </row>
    <row r="53" spans="1:7" x14ac:dyDescent="0.2">
      <c r="A53" s="8" t="s">
        <v>48</v>
      </c>
      <c r="B53" s="8">
        <v>48</v>
      </c>
      <c r="C53" s="9">
        <v>8.2623477396999991</v>
      </c>
      <c r="D53" s="11"/>
      <c r="E53" s="11"/>
      <c r="F53" s="11"/>
      <c r="G53" s="10"/>
    </row>
    <row r="54" spans="1:7" x14ac:dyDescent="0.2">
      <c r="A54" s="8" t="s">
        <v>49</v>
      </c>
      <c r="B54" s="8">
        <v>49</v>
      </c>
      <c r="C54" s="9">
        <v>10.1570168073</v>
      </c>
      <c r="D54" s="11"/>
      <c r="E54" s="11"/>
      <c r="F54" s="11"/>
      <c r="G54" s="10"/>
    </row>
    <row r="55" spans="1:7" x14ac:dyDescent="0.2">
      <c r="A55" s="8" t="s">
        <v>50</v>
      </c>
      <c r="B55" s="8">
        <v>50</v>
      </c>
      <c r="C55" s="9">
        <v>8.7339279789000006</v>
      </c>
      <c r="D55" s="11"/>
      <c r="E55" s="11"/>
      <c r="F55" s="11"/>
      <c r="G55" s="10"/>
    </row>
    <row r="56" spans="1:7" x14ac:dyDescent="0.2">
      <c r="A56" s="8" t="s">
        <v>51</v>
      </c>
      <c r="B56" s="8">
        <v>51</v>
      </c>
      <c r="C56" s="9">
        <v>8.6065129202000001</v>
      </c>
      <c r="D56" s="11"/>
      <c r="E56" s="11"/>
      <c r="F56" s="11"/>
      <c r="G56" s="10"/>
    </row>
    <row r="57" spans="1:7" x14ac:dyDescent="0.2">
      <c r="A57" s="8" t="s">
        <v>52</v>
      </c>
      <c r="B57" s="8">
        <v>52</v>
      </c>
      <c r="C57" s="9">
        <v>8.5046833330999991</v>
      </c>
      <c r="D57" s="11"/>
      <c r="E57" s="11"/>
      <c r="F57" s="11"/>
      <c r="G57" s="10"/>
    </row>
    <row r="58" spans="1:7" x14ac:dyDescent="0.2">
      <c r="A58" s="8" t="s">
        <v>53</v>
      </c>
      <c r="B58" s="8">
        <v>53</v>
      </c>
      <c r="C58" s="9">
        <v>9.8464424492999996</v>
      </c>
      <c r="D58" s="11"/>
      <c r="E58" s="11"/>
      <c r="F58" s="11"/>
      <c r="G58" s="10"/>
    </row>
    <row r="59" spans="1:7" x14ac:dyDescent="0.2">
      <c r="A59" s="8" t="s">
        <v>54</v>
      </c>
      <c r="B59" s="8">
        <v>54</v>
      </c>
      <c r="C59" s="9">
        <v>9.0092215278999994</v>
      </c>
      <c r="D59" s="11"/>
      <c r="E59" s="11"/>
      <c r="F59" s="11"/>
      <c r="G59" s="10"/>
    </row>
    <row r="60" spans="1:7" x14ac:dyDescent="0.2">
      <c r="A60" s="8" t="s">
        <v>55</v>
      </c>
      <c r="B60" s="8">
        <v>55</v>
      </c>
      <c r="C60" s="9">
        <v>8.4494986274000006</v>
      </c>
      <c r="D60" s="11"/>
      <c r="E60" s="11"/>
      <c r="F60" s="11"/>
      <c r="G60" s="10"/>
    </row>
    <row r="61" spans="1:7" x14ac:dyDescent="0.2">
      <c r="A61" s="8" t="s">
        <v>56</v>
      </c>
      <c r="B61" s="8">
        <v>56</v>
      </c>
      <c r="C61" s="9">
        <v>8.4886335158000001</v>
      </c>
      <c r="D61" s="11"/>
      <c r="E61" s="11"/>
      <c r="F61" s="11"/>
      <c r="G61" s="10"/>
    </row>
    <row r="62" spans="1:7" x14ac:dyDescent="0.2">
      <c r="A62" s="8" t="s">
        <v>57</v>
      </c>
      <c r="B62" s="8">
        <v>57</v>
      </c>
      <c r="C62" s="9">
        <v>10.267920372100001</v>
      </c>
      <c r="D62" s="11"/>
      <c r="E62" s="11"/>
      <c r="F62" s="11"/>
      <c r="G62" s="10"/>
    </row>
    <row r="63" spans="1:7" x14ac:dyDescent="0.2">
      <c r="A63" s="8" t="s">
        <v>58</v>
      </c>
      <c r="B63" s="8">
        <v>58</v>
      </c>
      <c r="C63" s="9">
        <v>8.6029121388000007</v>
      </c>
      <c r="D63" s="11"/>
      <c r="E63" s="11"/>
      <c r="F63" s="11"/>
      <c r="G63" s="10"/>
    </row>
    <row r="64" spans="1:7" x14ac:dyDescent="0.2">
      <c r="A64" s="8" t="s">
        <v>59</v>
      </c>
      <c r="B64" s="8">
        <v>59</v>
      </c>
      <c r="C64" s="9">
        <v>8.3503765221999995</v>
      </c>
      <c r="D64" s="11"/>
      <c r="E64" s="11"/>
      <c r="F64" s="11"/>
      <c r="G64" s="10"/>
    </row>
    <row r="65" spans="1:7" x14ac:dyDescent="0.2">
      <c r="A65" s="8" t="s">
        <v>60</v>
      </c>
      <c r="B65" s="8">
        <v>60</v>
      </c>
      <c r="C65" s="9">
        <v>9.2374914173999993</v>
      </c>
      <c r="D65" s="11"/>
      <c r="E65" s="11"/>
      <c r="F65" s="11"/>
      <c r="G65" s="10"/>
    </row>
    <row r="66" spans="1:7" x14ac:dyDescent="0.2">
      <c r="A66" s="8" t="s">
        <v>61</v>
      </c>
      <c r="B66" s="8">
        <v>61</v>
      </c>
      <c r="C66" s="9">
        <v>10.7866854306</v>
      </c>
      <c r="D66" s="11"/>
      <c r="E66" s="11"/>
      <c r="F66" s="11"/>
      <c r="G66" s="10"/>
    </row>
    <row r="67" spans="1:7" x14ac:dyDescent="0.2">
      <c r="A67" s="8" t="s">
        <v>62</v>
      </c>
      <c r="B67" s="8">
        <v>62</v>
      </c>
      <c r="C67" s="9">
        <v>9.0333038231000007</v>
      </c>
      <c r="D67" s="11"/>
      <c r="E67" s="11"/>
      <c r="F67" s="11"/>
      <c r="G67" s="10"/>
    </row>
    <row r="68" spans="1:7" x14ac:dyDescent="0.2">
      <c r="A68" s="8" t="s">
        <v>63</v>
      </c>
      <c r="B68" s="8">
        <v>63</v>
      </c>
      <c r="C68" s="9">
        <v>8.7810029437000008</v>
      </c>
      <c r="D68" s="11"/>
      <c r="E68" s="11"/>
      <c r="F68" s="11"/>
      <c r="G68" s="10"/>
    </row>
    <row r="69" spans="1:7" x14ac:dyDescent="0.2">
      <c r="A69" s="8" t="s">
        <v>64</v>
      </c>
      <c r="B69" s="8">
        <v>64</v>
      </c>
      <c r="C69" s="9">
        <v>8.8768492855000005</v>
      </c>
      <c r="D69" s="11"/>
      <c r="E69" s="11"/>
      <c r="F69" s="11"/>
      <c r="G69" s="10"/>
    </row>
    <row r="70" spans="1:7" x14ac:dyDescent="0.2">
      <c r="A70" s="8" t="s">
        <v>65</v>
      </c>
      <c r="B70" s="8">
        <v>65</v>
      </c>
      <c r="C70" s="9">
        <v>11.3552935855</v>
      </c>
      <c r="D70" s="11"/>
      <c r="E70" s="11"/>
      <c r="F70" s="11"/>
      <c r="G70" s="10"/>
    </row>
    <row r="71" spans="1:7" x14ac:dyDescent="0.2">
      <c r="A71" s="8" t="s">
        <v>66</v>
      </c>
      <c r="B71" s="8">
        <v>66</v>
      </c>
      <c r="C71" s="9">
        <v>10.1989320946</v>
      </c>
      <c r="D71" s="11"/>
      <c r="E71" s="11"/>
      <c r="F71" s="11"/>
      <c r="G71" s="10"/>
    </row>
    <row r="72" spans="1:7" x14ac:dyDescent="0.2">
      <c r="A72" s="8" t="s">
        <v>67</v>
      </c>
      <c r="B72" s="8">
        <v>67</v>
      </c>
      <c r="C72" s="9">
        <v>8.9680363277000001</v>
      </c>
      <c r="D72" s="11"/>
      <c r="E72" s="11"/>
      <c r="F72" s="11"/>
      <c r="G72" s="10"/>
    </row>
    <row r="73" spans="1:7" x14ac:dyDescent="0.2">
      <c r="A73" s="8" t="s">
        <v>68</v>
      </c>
      <c r="B73" s="8">
        <v>68</v>
      </c>
      <c r="C73" s="9">
        <v>9.4143273515000008</v>
      </c>
      <c r="D73" s="11"/>
      <c r="E73" s="11"/>
      <c r="F73" s="11"/>
      <c r="G73" s="10"/>
    </row>
    <row r="74" spans="1:7" x14ac:dyDescent="0.2">
      <c r="A74" s="8" t="s">
        <v>69</v>
      </c>
      <c r="B74" s="8">
        <v>69</v>
      </c>
      <c r="C74" s="9">
        <v>11.6309335134</v>
      </c>
      <c r="D74" s="11"/>
      <c r="E74" s="11"/>
      <c r="F74" s="11"/>
      <c r="G74" s="10"/>
    </row>
    <row r="75" spans="1:7" x14ac:dyDescent="0.2">
      <c r="A75" s="8" t="s">
        <v>70</v>
      </c>
      <c r="B75" s="8">
        <v>70</v>
      </c>
      <c r="C75" s="9">
        <v>9.7070475323000007</v>
      </c>
      <c r="D75" s="11"/>
      <c r="E75" s="11"/>
      <c r="F75" s="11"/>
      <c r="G75" s="10"/>
    </row>
    <row r="76" spans="1:7" x14ac:dyDescent="0.2">
      <c r="A76" s="8" t="s">
        <v>71</v>
      </c>
      <c r="B76" s="8">
        <v>71</v>
      </c>
      <c r="C76" s="9">
        <v>9.5459545704999993</v>
      </c>
      <c r="D76" s="11"/>
      <c r="E76" s="11"/>
      <c r="F76" s="11"/>
      <c r="G76" s="10"/>
    </row>
    <row r="77" spans="1:7" x14ac:dyDescent="0.2">
      <c r="A77" s="8" t="s">
        <v>72</v>
      </c>
      <c r="B77" s="8">
        <v>72</v>
      </c>
      <c r="C77" s="9">
        <v>10.0461594153</v>
      </c>
      <c r="D77" s="11"/>
      <c r="E77" s="11"/>
      <c r="F77" s="11"/>
      <c r="G77" s="10"/>
    </row>
    <row r="78" spans="1:7" x14ac:dyDescent="0.2">
      <c r="A78" s="8" t="s">
        <v>73</v>
      </c>
      <c r="B78" s="8">
        <v>73</v>
      </c>
      <c r="C78" s="9">
        <v>12.5931781345</v>
      </c>
      <c r="D78" s="11"/>
      <c r="E78" s="11"/>
      <c r="F78" s="11"/>
      <c r="G78" s="10"/>
    </row>
    <row r="79" spans="1:7" x14ac:dyDescent="0.2">
      <c r="A79" s="8" t="s">
        <v>74</v>
      </c>
      <c r="B79" s="8">
        <v>74</v>
      </c>
      <c r="C79" s="9">
        <v>9.9801987919999995</v>
      </c>
      <c r="D79" s="11"/>
      <c r="E79" s="11"/>
      <c r="F79" s="11"/>
      <c r="G79" s="10"/>
    </row>
    <row r="80" spans="1:7" x14ac:dyDescent="0.2">
      <c r="A80" s="8" t="s">
        <v>75</v>
      </c>
      <c r="B80" s="8">
        <v>75</v>
      </c>
      <c r="C80" s="9">
        <v>9.9396175664000008</v>
      </c>
      <c r="D80" s="11"/>
      <c r="E80" s="11"/>
      <c r="F80" s="11"/>
      <c r="G80" s="10"/>
    </row>
    <row r="81" spans="1:13" ht="16" thickBot="1" x14ac:dyDescent="0.25">
      <c r="A81" s="8" t="s">
        <v>76</v>
      </c>
      <c r="B81" s="8">
        <v>76</v>
      </c>
      <c r="C81" s="9">
        <v>10.0849646705</v>
      </c>
      <c r="D81" s="11"/>
      <c r="E81" s="11"/>
      <c r="F81" s="11"/>
      <c r="G81" s="10"/>
    </row>
    <row r="82" spans="1:13" x14ac:dyDescent="0.2">
      <c r="A82" s="8" t="s">
        <v>77</v>
      </c>
      <c r="B82" s="8">
        <v>77</v>
      </c>
      <c r="C82" s="9">
        <v>12.406418863100001</v>
      </c>
      <c r="D82" s="11"/>
      <c r="E82" s="14"/>
      <c r="F82" s="16"/>
      <c r="G82" s="13"/>
      <c r="H82" t="s">
        <v>107</v>
      </c>
    </row>
    <row r="83" spans="1:13" x14ac:dyDescent="0.2">
      <c r="A83" s="8" t="s">
        <v>78</v>
      </c>
      <c r="B83" s="8">
        <v>78</v>
      </c>
      <c r="C83" s="9">
        <v>10.4711972619</v>
      </c>
      <c r="D83" s="11"/>
      <c r="E83" s="14"/>
      <c r="F83" s="17"/>
      <c r="G83" s="13"/>
      <c r="H83" t="s">
        <v>108</v>
      </c>
    </row>
    <row r="84" spans="1:13" ht="16" thickBot="1" x14ac:dyDescent="0.25">
      <c r="A84" s="8" t="s">
        <v>79</v>
      </c>
      <c r="B84" s="8">
        <v>79</v>
      </c>
      <c r="C84" s="9">
        <v>10.4991653699</v>
      </c>
      <c r="D84" s="15"/>
      <c r="E84" s="22"/>
      <c r="F84" s="18"/>
      <c r="G84" s="13"/>
      <c r="H84" t="s">
        <v>109</v>
      </c>
    </row>
    <row r="85" spans="1:13" ht="16" thickBot="1" x14ac:dyDescent="0.25">
      <c r="A85" s="8" t="s">
        <v>80</v>
      </c>
      <c r="B85" s="8">
        <v>80</v>
      </c>
      <c r="C85" s="20">
        <v>11.210817760199999</v>
      </c>
      <c r="D85" s="21"/>
      <c r="E85" s="21"/>
      <c r="F85" s="19"/>
      <c r="G85" s="13"/>
      <c r="H85" t="s">
        <v>106</v>
      </c>
    </row>
    <row r="86" spans="1:13" ht="16" thickBot="1" x14ac:dyDescent="0.25">
      <c r="C86" s="2"/>
      <c r="D86" s="2"/>
      <c r="E86" s="2"/>
      <c r="F86" s="2"/>
      <c r="G86" s="2"/>
    </row>
    <row r="87" spans="1:13" x14ac:dyDescent="0.2">
      <c r="C87" s="2"/>
      <c r="D87" s="2"/>
      <c r="E87" s="2"/>
      <c r="F87" s="23">
        <f>F82</f>
        <v>0</v>
      </c>
      <c r="G87" s="2"/>
    </row>
    <row r="88" spans="1:13" ht="16" thickBot="1" x14ac:dyDescent="0.25">
      <c r="C88" s="2"/>
      <c r="D88" s="2"/>
      <c r="E88" s="2"/>
      <c r="F88" s="24">
        <f>F83</f>
        <v>0</v>
      </c>
      <c r="G88" s="2"/>
    </row>
    <row r="89" spans="1:13" ht="16" thickBot="1" x14ac:dyDescent="0.25">
      <c r="C89" s="2"/>
      <c r="D89" s="2"/>
      <c r="E89" s="2"/>
      <c r="F89" s="25">
        <f>F84</f>
        <v>0</v>
      </c>
      <c r="G89" s="2"/>
      <c r="I89" s="30" t="s">
        <v>89</v>
      </c>
    </row>
    <row r="90" spans="1:13" ht="18" thickBot="1" x14ac:dyDescent="0.3">
      <c r="A90" s="31" t="s">
        <v>0</v>
      </c>
      <c r="B90" s="30" t="s">
        <v>103</v>
      </c>
      <c r="C90" s="30" t="s">
        <v>88</v>
      </c>
      <c r="D90" s="21">
        <f>D85</f>
        <v>0</v>
      </c>
      <c r="E90" s="21">
        <f>E85</f>
        <v>0</v>
      </c>
      <c r="F90" s="26">
        <f>F85</f>
        <v>0</v>
      </c>
      <c r="G90" s="30" t="s">
        <v>85</v>
      </c>
      <c r="H90" s="39" t="s">
        <v>102</v>
      </c>
      <c r="I90" s="39" t="s">
        <v>104</v>
      </c>
    </row>
    <row r="91" spans="1:13" x14ac:dyDescent="0.2">
      <c r="A91" s="8" t="s">
        <v>90</v>
      </c>
      <c r="B91" s="35">
        <v>1</v>
      </c>
      <c r="C91" s="27">
        <f>INT((B91-1)/4)</f>
        <v>0</v>
      </c>
      <c r="D91" s="3" t="s">
        <v>86</v>
      </c>
      <c r="E91" s="3" t="s">
        <v>86</v>
      </c>
      <c r="F91" s="36" cm="1">
        <f t="array" aca="1" ref="F91" ca="1">INDIRECT(I91)</f>
        <v>0</v>
      </c>
      <c r="G91" s="32"/>
      <c r="H91" s="27">
        <f>4*(C91+1)</f>
        <v>4</v>
      </c>
      <c r="I91" s="27" t="str">
        <f>"F" &amp; ROW()-H91</f>
        <v>F87</v>
      </c>
      <c r="K91" s="32">
        <v>12.910014321354083</v>
      </c>
      <c r="M91" s="1"/>
    </row>
    <row r="92" spans="1:13" x14ac:dyDescent="0.2">
      <c r="A92" s="8" t="s">
        <v>91</v>
      </c>
      <c r="B92" s="35">
        <v>2</v>
      </c>
      <c r="C92" s="28">
        <f t="shared" ref="C92:C102" si="0">INT((B92-1)/4)</f>
        <v>0</v>
      </c>
      <c r="D92" s="3" t="s">
        <v>86</v>
      </c>
      <c r="E92" s="3" t="s">
        <v>86</v>
      </c>
      <c r="F92" s="37" cm="1">
        <f t="array" aca="1" ref="F92" ca="1">INDIRECT(I92)</f>
        <v>0</v>
      </c>
      <c r="G92" s="33"/>
      <c r="H92" s="28">
        <f>4*(C92+1)</f>
        <v>4</v>
      </c>
      <c r="I92" s="28" t="str">
        <f t="shared" ref="I92:I102" si="1">"F" &amp; ROW()-H92</f>
        <v>F88</v>
      </c>
      <c r="K92" s="33">
        <v>11.229344527343061</v>
      </c>
    </row>
    <row r="93" spans="1:13" x14ac:dyDescent="0.2">
      <c r="A93" s="8" t="s">
        <v>94</v>
      </c>
      <c r="B93" s="35">
        <v>3</v>
      </c>
      <c r="C93" s="28">
        <f t="shared" si="0"/>
        <v>0</v>
      </c>
      <c r="D93" s="3" t="s">
        <v>86</v>
      </c>
      <c r="E93" s="3" t="s">
        <v>86</v>
      </c>
      <c r="F93" s="37" cm="1">
        <f t="array" aca="1" ref="F93" ca="1">INDIRECT(I93)</f>
        <v>0</v>
      </c>
      <c r="G93" s="33"/>
      <c r="H93" s="28">
        <f>4*(C93+1)</f>
        <v>4</v>
      </c>
      <c r="I93" s="28" t="str">
        <f t="shared" si="1"/>
        <v>F89</v>
      </c>
      <c r="J93" t="s">
        <v>110</v>
      </c>
      <c r="K93" s="33">
        <v>10.948812953390082</v>
      </c>
    </row>
    <row r="94" spans="1:13" ht="16" thickBot="1" x14ac:dyDescent="0.25">
      <c r="A94" s="8" t="s">
        <v>95</v>
      </c>
      <c r="B94" s="35">
        <v>4</v>
      </c>
      <c r="C94" s="29">
        <f t="shared" si="0"/>
        <v>0</v>
      </c>
      <c r="D94" s="3" t="s">
        <v>86</v>
      </c>
      <c r="E94" s="3" t="s">
        <v>86</v>
      </c>
      <c r="F94" s="38" cm="1">
        <f t="array" aca="1" ref="F94" ca="1">INDIRECT(I94)</f>
        <v>0</v>
      </c>
      <c r="G94" s="33"/>
      <c r="H94" s="29">
        <f t="shared" ref="H94:H102" si="2">4*(C94+1)</f>
        <v>4</v>
      </c>
      <c r="I94" s="29" t="str">
        <f t="shared" si="1"/>
        <v>F90</v>
      </c>
      <c r="K94" s="33">
        <v>11.26815563212517</v>
      </c>
    </row>
    <row r="95" spans="1:13" x14ac:dyDescent="0.2">
      <c r="A95" s="8" t="s">
        <v>92</v>
      </c>
      <c r="B95" s="35">
        <v>5</v>
      </c>
      <c r="C95" s="27">
        <f t="shared" si="0"/>
        <v>1</v>
      </c>
      <c r="D95" s="3" t="s">
        <v>86</v>
      </c>
      <c r="E95" s="3" t="s">
        <v>86</v>
      </c>
      <c r="F95" s="36" cm="1">
        <f t="array" aca="1" ref="F95" ca="1">INDIRECT(I95)</f>
        <v>0</v>
      </c>
      <c r="G95" s="33"/>
      <c r="H95" s="27">
        <f t="shared" si="2"/>
        <v>8</v>
      </c>
      <c r="I95" s="27" t="str">
        <f t="shared" si="1"/>
        <v>F87</v>
      </c>
      <c r="K95" s="33">
        <v>13.387762864930037</v>
      </c>
    </row>
    <row r="96" spans="1:13" x14ac:dyDescent="0.2">
      <c r="A96" s="8" t="s">
        <v>93</v>
      </c>
      <c r="B96" s="35">
        <v>6</v>
      </c>
      <c r="C96" s="28">
        <f t="shared" si="0"/>
        <v>1</v>
      </c>
      <c r="D96" s="3" t="s">
        <v>86</v>
      </c>
      <c r="E96" s="3" t="s">
        <v>86</v>
      </c>
      <c r="F96" s="37" cm="1">
        <f t="array" aca="1" ref="F96" ca="1">INDIRECT(I96)</f>
        <v>0</v>
      </c>
      <c r="G96" s="33"/>
      <c r="H96" s="28">
        <f t="shared" si="2"/>
        <v>8</v>
      </c>
      <c r="I96" s="28" t="str">
        <f t="shared" si="1"/>
        <v>F88</v>
      </c>
      <c r="K96" s="33">
        <v>11.707093070919015</v>
      </c>
    </row>
    <row r="97" spans="1:11" x14ac:dyDescent="0.2">
      <c r="A97" s="8" t="s">
        <v>96</v>
      </c>
      <c r="B97" s="35">
        <v>7</v>
      </c>
      <c r="C97" s="28">
        <f t="shared" si="0"/>
        <v>1</v>
      </c>
      <c r="D97" s="3" t="s">
        <v>86</v>
      </c>
      <c r="E97" s="3" t="s">
        <v>86</v>
      </c>
      <c r="F97" s="37" cm="1">
        <f t="array" aca="1" ref="F97" ca="1">INDIRECT(I97)</f>
        <v>0</v>
      </c>
      <c r="G97" s="33"/>
      <c r="H97" s="28">
        <f t="shared" si="2"/>
        <v>8</v>
      </c>
      <c r="I97" s="28" t="str">
        <f t="shared" si="1"/>
        <v>F89</v>
      </c>
      <c r="K97" s="33">
        <v>11.426561496966036</v>
      </c>
    </row>
    <row r="98" spans="1:11" ht="16" thickBot="1" x14ac:dyDescent="0.25">
      <c r="A98" s="8" t="s">
        <v>97</v>
      </c>
      <c r="B98" s="35">
        <v>8</v>
      </c>
      <c r="C98" s="29">
        <f t="shared" si="0"/>
        <v>1</v>
      </c>
      <c r="D98" s="3" t="s">
        <v>86</v>
      </c>
      <c r="E98" s="3" t="s">
        <v>86</v>
      </c>
      <c r="F98" s="38" cm="1">
        <f t="array" aca="1" ref="F98" ca="1">INDIRECT(I98)</f>
        <v>0</v>
      </c>
      <c r="G98" s="33"/>
      <c r="H98" s="29">
        <f t="shared" si="2"/>
        <v>8</v>
      </c>
      <c r="I98" s="29" t="str">
        <f t="shared" si="1"/>
        <v>F90</v>
      </c>
      <c r="K98" s="33">
        <v>11.745904175701124</v>
      </c>
    </row>
    <row r="99" spans="1:11" x14ac:dyDescent="0.2">
      <c r="A99" s="8" t="s">
        <v>98</v>
      </c>
      <c r="B99" s="35">
        <v>9</v>
      </c>
      <c r="C99" s="27">
        <f t="shared" si="0"/>
        <v>2</v>
      </c>
      <c r="D99" s="3" t="s">
        <v>86</v>
      </c>
      <c r="E99" s="3" t="s">
        <v>86</v>
      </c>
      <c r="F99" s="36" cm="1">
        <f t="array" aca="1" ref="F99" ca="1">INDIRECT(I99)</f>
        <v>0</v>
      </c>
      <c r="G99" s="33"/>
      <c r="H99" s="27">
        <f t="shared" si="2"/>
        <v>12</v>
      </c>
      <c r="I99" s="27" t="str">
        <f t="shared" si="1"/>
        <v>F87</v>
      </c>
      <c r="K99" s="33">
        <v>13.865511408505993</v>
      </c>
    </row>
    <row r="100" spans="1:11" x14ac:dyDescent="0.2">
      <c r="A100" s="8" t="s">
        <v>99</v>
      </c>
      <c r="B100" s="35">
        <v>10</v>
      </c>
      <c r="C100" s="28">
        <f t="shared" si="0"/>
        <v>2</v>
      </c>
      <c r="D100" s="3" t="s">
        <v>86</v>
      </c>
      <c r="E100" s="3" t="s">
        <v>86</v>
      </c>
      <c r="F100" s="37" cm="1">
        <f t="array" aca="1" ref="F100" ca="1">INDIRECT(I100)</f>
        <v>0</v>
      </c>
      <c r="G100" s="33"/>
      <c r="H100" s="28">
        <f t="shared" si="2"/>
        <v>12</v>
      </c>
      <c r="I100" s="28" t="str">
        <f t="shared" si="1"/>
        <v>F88</v>
      </c>
      <c r="K100" s="33">
        <v>12.184841614494971</v>
      </c>
    </row>
    <row r="101" spans="1:11" x14ac:dyDescent="0.2">
      <c r="A101" s="8" t="s">
        <v>100</v>
      </c>
      <c r="B101" s="35">
        <v>11</v>
      </c>
      <c r="C101" s="28">
        <f t="shared" si="0"/>
        <v>2</v>
      </c>
      <c r="D101" s="3" t="s">
        <v>86</v>
      </c>
      <c r="E101" s="3" t="s">
        <v>86</v>
      </c>
      <c r="F101" s="37" cm="1">
        <f t="array" aca="1" ref="F101" ca="1">INDIRECT(I101)</f>
        <v>0</v>
      </c>
      <c r="G101" s="33"/>
      <c r="H101" s="28">
        <f t="shared" si="2"/>
        <v>12</v>
      </c>
      <c r="I101" s="28" t="str">
        <f t="shared" si="1"/>
        <v>F89</v>
      </c>
      <c r="K101" s="33">
        <v>11.904310040541992</v>
      </c>
    </row>
    <row r="102" spans="1:11" ht="16" thickBot="1" x14ac:dyDescent="0.25">
      <c r="A102" s="8" t="s">
        <v>101</v>
      </c>
      <c r="B102" s="35">
        <v>12</v>
      </c>
      <c r="C102" s="29">
        <f t="shared" si="0"/>
        <v>2</v>
      </c>
      <c r="D102" s="3" t="s">
        <v>86</v>
      </c>
      <c r="E102" s="3" t="s">
        <v>86</v>
      </c>
      <c r="F102" s="38" cm="1">
        <f t="array" aca="1" ref="F102" ca="1">INDIRECT(I102)</f>
        <v>0</v>
      </c>
      <c r="G102" s="34"/>
      <c r="H102" s="29">
        <f t="shared" si="2"/>
        <v>12</v>
      </c>
      <c r="I102" s="29" t="str">
        <f t="shared" si="1"/>
        <v>F90</v>
      </c>
      <c r="K102" s="34">
        <v>12.223652719277078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Interpretation of terms</vt:lpstr>
      <vt:lpstr>Additive</vt:lpstr>
      <vt:lpstr>alpha</vt:lpstr>
      <vt:lpstr>beta</vt:lpstr>
      <vt:lpstr>gamma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 Garbayo de Pablo</cp:lastModifiedBy>
  <dcterms:created xsi:type="dcterms:W3CDTF">2022-08-28T16:17:58Z</dcterms:created>
  <dcterms:modified xsi:type="dcterms:W3CDTF">2026-06-01T17:19:15Z</dcterms:modified>
</cp:coreProperties>
</file>